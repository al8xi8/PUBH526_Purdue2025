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naratn\Box\Randomized Trials\content\Topic 08 Effect Modification\"/>
    </mc:Choice>
  </mc:AlternateContent>
  <xr:revisionPtr revIDLastSave="0" documentId="8_{73FC264D-2971-4B96-A176-E668E96CE255}" xr6:coauthVersionLast="47" xr6:coauthVersionMax="47" xr10:uidLastSave="{00000000-0000-0000-0000-000000000000}"/>
  <bookViews>
    <workbookView xWindow="-110" yWindow="-110" windowWidth="19420" windowHeight="11500" activeTab="1" xr2:uid="{A978CE96-950D-44A2-8F51-28FD76EF77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E18" i="2"/>
  <c r="E17" i="2"/>
  <c r="E16" i="2"/>
</calcChain>
</file>

<file path=xl/sharedStrings.xml><?xml version="1.0" encoding="utf-8"?>
<sst xmlns="http://schemas.openxmlformats.org/spreadsheetml/2006/main" count="70" uniqueCount="37">
  <si>
    <t>Source</t>
  </si>
  <si>
    <t>DF</t>
  </si>
  <si>
    <t>Sum of Squares</t>
  </si>
  <si>
    <t>Mean Square</t>
  </si>
  <si>
    <t>F Value</t>
  </si>
  <si>
    <t>Pr &gt; F</t>
  </si>
  <si>
    <t>Model</t>
  </si>
  <si>
    <t>&lt;.0001</t>
  </si>
  <si>
    <t>Error</t>
  </si>
  <si>
    <t>Corrected Total</t>
  </si>
  <si>
    <t>Type III SS</t>
  </si>
  <si>
    <t>treatment</t>
  </si>
  <si>
    <t>tutoring</t>
  </si>
  <si>
    <t>treatment*tutoring</t>
  </si>
  <si>
    <t>Parameter</t>
  </si>
  <si>
    <t>Estimate</t>
  </si>
  <si>
    <t>t Value</t>
  </si>
  <si>
    <t>Pr &gt; |t|</t>
  </si>
  <si>
    <t>Intercept</t>
  </si>
  <si>
    <t>treatment 2</t>
  </si>
  <si>
    <t>treatment 1</t>
  </si>
  <si>
    <t>.</t>
  </si>
  <si>
    <t>tutoring yes</t>
  </si>
  <si>
    <t>tutoring no</t>
  </si>
  <si>
    <t>treatment*tutoring 2 yes</t>
  </si>
  <si>
    <t>treatment*tutoring 2 no</t>
  </si>
  <si>
    <t>treatment*tutoring 1 yes</t>
  </si>
  <si>
    <t>treatment*tutoring 1 no</t>
  </si>
  <si>
    <t>SE</t>
  </si>
  <si>
    <t>score_mean</t>
  </si>
  <si>
    <t>no</t>
  </si>
  <si>
    <t>yes</t>
  </si>
  <si>
    <t>x1:  indicator for treatment 2</t>
  </si>
  <si>
    <t>x2:  indicator for tutoring=yes</t>
  </si>
  <si>
    <t>𝑦=𝛽𝑜 + 𝛽1 𝑥1 + 𝛽2 𝑥2 + 𝛽3 𝑥1 𝑥2 + 𝜀</t>
  </si>
  <si>
    <t xml:space="preserve">treatment 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</si>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</sst>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C1C1C1"/>
      </left>
      <right/>
      <top style="medium">
        <color rgb="FFC1C1C1"/>
      </top>
      <bottom/>
      <diagonal/>
    </border>
    <border>
      <left/>
      <right/>
      <top style="medium">
        <color rgb="FFC1C1C1"/>
      </top>
      <bottom/>
      <diagonal/>
    </border>
    <border>
      <left style="medium">
        <color rgb="FFC1C1C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horizontal="center" vertical="top" wrapText="1"/>
    </xf>
    <xf numFmtId="0" fontId="0" fillId="3" borderId="0" xfId="0" applyFill="1"/>
    <xf numFmtId="0" fontId="2" fillId="3" borderId="0" xfId="0" applyFont="1" applyFill="1" applyAlignment="1">
      <alignment horizontal="center" vertical="top" wrapText="1"/>
    </xf>
    <xf numFmtId="0" fontId="0" fillId="4" borderId="0" xfId="0" applyFill="1"/>
    <xf numFmtId="0" fontId="2" fillId="4" borderId="0" xfId="0" applyFont="1" applyFill="1" applyAlignment="1">
      <alignment horizontal="center" vertical="top" wrapText="1"/>
    </xf>
    <xf numFmtId="0" fontId="3" fillId="5" borderId="0" xfId="0" applyFont="1" applyFill="1"/>
    <xf numFmtId="0" fontId="4" fillId="5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1</xdr:row>
      <xdr:rowOff>30910</xdr:rowOff>
    </xdr:from>
    <xdr:to>
      <xdr:col>17</xdr:col>
      <xdr:colOff>167377</xdr:colOff>
      <xdr:row>9</xdr:row>
      <xdr:rowOff>32245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930071-044C-0D73-7865-ABE5A567B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386510"/>
          <a:ext cx="6237977" cy="1995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A5F2-5935-4A50-90F7-595BEEDDFA46}">
  <dimension ref="A1:F10"/>
  <sheetViews>
    <sheetView workbookViewId="0">
      <selection activeCell="F2" sqref="F2"/>
    </sheetView>
  </sheetViews>
  <sheetFormatPr defaultRowHeight="14.5" x14ac:dyDescent="0.35"/>
  <cols>
    <col min="1" max="1" width="12.7265625" customWidth="1"/>
  </cols>
  <sheetData>
    <row r="1" spans="1:6" ht="28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4" t="s">
        <v>6</v>
      </c>
      <c r="B2" s="1">
        <v>3</v>
      </c>
      <c r="C2" s="1">
        <v>19043.109520000002</v>
      </c>
      <c r="D2" s="1">
        <v>6347.7031699999998</v>
      </c>
      <c r="E2" s="1">
        <v>114.89</v>
      </c>
      <c r="F2" s="1" t="s">
        <v>7</v>
      </c>
    </row>
    <row r="3" spans="1:6" x14ac:dyDescent="0.35">
      <c r="A3" s="4" t="s">
        <v>8</v>
      </c>
      <c r="B3" s="1">
        <v>196</v>
      </c>
      <c r="C3" s="1">
        <v>10829.21048</v>
      </c>
      <c r="D3" s="1">
        <v>55.251069999999999</v>
      </c>
      <c r="E3" s="1"/>
      <c r="F3" s="1"/>
    </row>
    <row r="4" spans="1:6" ht="28" x14ac:dyDescent="0.35">
      <c r="A4" s="4" t="s">
        <v>9</v>
      </c>
      <c r="B4" s="1">
        <v>199</v>
      </c>
      <c r="C4" s="1">
        <v>29872.32</v>
      </c>
      <c r="D4" s="1"/>
      <c r="E4" s="1"/>
      <c r="F4" s="1"/>
    </row>
    <row r="6" spans="1:6" ht="15" thickBot="1" x14ac:dyDescent="0.4"/>
    <row r="7" spans="1:6" ht="28" x14ac:dyDescent="0.35">
      <c r="A7" s="2" t="s">
        <v>0</v>
      </c>
      <c r="B7" s="3" t="s">
        <v>1</v>
      </c>
      <c r="C7" s="3" t="s">
        <v>10</v>
      </c>
      <c r="D7" s="3" t="s">
        <v>3</v>
      </c>
      <c r="E7" s="3" t="s">
        <v>4</v>
      </c>
      <c r="F7" s="3" t="s">
        <v>5</v>
      </c>
    </row>
    <row r="8" spans="1:6" ht="28" x14ac:dyDescent="0.35">
      <c r="A8" s="4" t="s">
        <v>11</v>
      </c>
      <c r="B8" s="1">
        <v>1</v>
      </c>
      <c r="C8" s="1">
        <v>7029.82978</v>
      </c>
      <c r="D8" s="1">
        <v>7029.82978</v>
      </c>
      <c r="E8" s="1">
        <v>127.23</v>
      </c>
      <c r="F8" s="1" t="s">
        <v>7</v>
      </c>
    </row>
    <row r="9" spans="1:6" x14ac:dyDescent="0.35">
      <c r="A9" s="4" t="s">
        <v>12</v>
      </c>
      <c r="B9" s="1">
        <v>1</v>
      </c>
      <c r="C9" s="1">
        <v>10209.43051</v>
      </c>
      <c r="D9" s="1">
        <v>10209.43051</v>
      </c>
      <c r="E9" s="1">
        <v>184.78</v>
      </c>
      <c r="F9" s="1" t="s">
        <v>7</v>
      </c>
    </row>
    <row r="10" spans="1:6" ht="42" x14ac:dyDescent="0.35">
      <c r="A10" s="4" t="s">
        <v>13</v>
      </c>
      <c r="B10" s="1">
        <v>1</v>
      </c>
      <c r="C10" s="1">
        <v>858.69223999999997</v>
      </c>
      <c r="D10" s="1">
        <v>858.69223999999997</v>
      </c>
      <c r="E10" s="1">
        <v>15.54</v>
      </c>
      <c r="F10" s="1">
        <v>1E-4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04E2-6FA6-4C26-B56B-B7B882A27422}">
  <dimension ref="A1:I19"/>
  <sheetViews>
    <sheetView tabSelected="1" zoomScale="110" zoomScaleNormal="110" workbookViewId="0">
      <selection activeCell="A20" sqref="A20"/>
    </sheetView>
  </sheetViews>
  <sheetFormatPr defaultRowHeight="14.5" x14ac:dyDescent="0.35"/>
  <cols>
    <col min="1" max="1" width="28.1796875" customWidth="1"/>
    <col min="2" max="2" width="10.7265625" customWidth="1"/>
    <col min="3" max="3" width="11.36328125" customWidth="1"/>
    <col min="7" max="7" width="11.6328125" style="7" customWidth="1"/>
    <col min="8" max="8" width="8.7265625" style="7"/>
    <col min="9" max="9" width="13.1796875" style="7" customWidth="1"/>
  </cols>
  <sheetData>
    <row r="1" spans="1:9" x14ac:dyDescent="0.35">
      <c r="A1" t="s">
        <v>34</v>
      </c>
    </row>
    <row r="2" spans="1:9" ht="15" thickBot="1" x14ac:dyDescent="0.4"/>
    <row r="3" spans="1:9" x14ac:dyDescent="0.35">
      <c r="A3" s="5" t="s">
        <v>14</v>
      </c>
      <c r="B3" s="6" t="s">
        <v>15</v>
      </c>
      <c r="C3" s="3" t="s">
        <v>28</v>
      </c>
      <c r="D3" s="6" t="s">
        <v>16</v>
      </c>
      <c r="E3" s="6" t="s">
        <v>17</v>
      </c>
      <c r="G3" s="3" t="s">
        <v>11</v>
      </c>
      <c r="H3" s="3" t="s">
        <v>12</v>
      </c>
      <c r="I3" s="3" t="s">
        <v>29</v>
      </c>
    </row>
    <row r="4" spans="1:9" x14ac:dyDescent="0.35">
      <c r="A4" s="4" t="s">
        <v>18</v>
      </c>
      <c r="B4" s="1">
        <v>41.934782609999999</v>
      </c>
      <c r="C4" s="1">
        <v>1.09595178</v>
      </c>
      <c r="D4" s="1">
        <v>38.26</v>
      </c>
      <c r="E4" s="1" t="s">
        <v>7</v>
      </c>
      <c r="G4" s="8">
        <v>1</v>
      </c>
      <c r="H4" s="8" t="s">
        <v>30</v>
      </c>
      <c r="I4" s="12">
        <v>41.934800000000003</v>
      </c>
    </row>
    <row r="5" spans="1:9" x14ac:dyDescent="0.35">
      <c r="A5" s="4" t="s">
        <v>19</v>
      </c>
      <c r="B5" s="1">
        <v>7.7628918100000002</v>
      </c>
      <c r="C5" s="1">
        <v>1.5767114499999999</v>
      </c>
      <c r="D5" s="1">
        <v>4.92</v>
      </c>
      <c r="E5" s="1" t="s">
        <v>7</v>
      </c>
      <c r="G5" s="8">
        <v>1</v>
      </c>
      <c r="H5" s="8" t="s">
        <v>31</v>
      </c>
      <c r="I5" s="14">
        <v>52.145499999999998</v>
      </c>
    </row>
    <row r="6" spans="1:9" x14ac:dyDescent="0.35">
      <c r="A6" s="4" t="s">
        <v>20</v>
      </c>
      <c r="B6" s="1">
        <v>0</v>
      </c>
      <c r="C6" s="1" t="s">
        <v>21</v>
      </c>
      <c r="D6" s="1" t="s">
        <v>21</v>
      </c>
      <c r="E6" s="1" t="s">
        <v>21</v>
      </c>
      <c r="G6" s="8">
        <v>2</v>
      </c>
      <c r="H6" s="8" t="s">
        <v>30</v>
      </c>
      <c r="I6" s="16">
        <v>49.697699999999998</v>
      </c>
    </row>
    <row r="7" spans="1:9" x14ac:dyDescent="0.35">
      <c r="A7" s="4" t="s">
        <v>22</v>
      </c>
      <c r="B7" s="1">
        <v>10.210671939999999</v>
      </c>
      <c r="C7" s="1">
        <v>1.4851516</v>
      </c>
      <c r="D7" s="1">
        <v>6.88</v>
      </c>
      <c r="E7" s="1" t="s">
        <v>7</v>
      </c>
      <c r="G7" s="8">
        <v>2</v>
      </c>
      <c r="H7" s="8" t="s">
        <v>31</v>
      </c>
      <c r="I7" s="18">
        <v>68.25</v>
      </c>
    </row>
    <row r="8" spans="1:9" x14ac:dyDescent="0.35">
      <c r="A8" s="4" t="s">
        <v>23</v>
      </c>
      <c r="B8" s="1">
        <v>0</v>
      </c>
      <c r="C8" s="1" t="s">
        <v>21</v>
      </c>
      <c r="D8" s="1" t="s">
        <v>21</v>
      </c>
      <c r="E8" s="1" t="s">
        <v>21</v>
      </c>
    </row>
    <row r="9" spans="1:9" x14ac:dyDescent="0.35">
      <c r="A9" s="4" t="s">
        <v>24</v>
      </c>
      <c r="B9" s="1">
        <v>8.3416536400000005</v>
      </c>
      <c r="C9" s="1">
        <v>2.1159419399999999</v>
      </c>
      <c r="D9" s="1">
        <v>3.94</v>
      </c>
      <c r="E9" s="1">
        <v>1E-4</v>
      </c>
    </row>
    <row r="10" spans="1:9" x14ac:dyDescent="0.35">
      <c r="A10" s="4" t="s">
        <v>25</v>
      </c>
      <c r="B10" s="1">
        <v>0</v>
      </c>
      <c r="C10" s="1" t="s">
        <v>21</v>
      </c>
      <c r="D10" s="1" t="s">
        <v>21</v>
      </c>
      <c r="E10" s="1" t="s">
        <v>21</v>
      </c>
    </row>
    <row r="11" spans="1:9" x14ac:dyDescent="0.35">
      <c r="A11" s="4" t="s">
        <v>26</v>
      </c>
      <c r="B11" s="1">
        <v>0</v>
      </c>
      <c r="C11" s="1" t="s">
        <v>21</v>
      </c>
      <c r="D11" s="1" t="s">
        <v>21</v>
      </c>
      <c r="E11" s="1" t="s">
        <v>21</v>
      </c>
    </row>
    <row r="12" spans="1:9" x14ac:dyDescent="0.35">
      <c r="A12" s="4" t="s">
        <v>27</v>
      </c>
      <c r="B12" s="1">
        <v>0</v>
      </c>
      <c r="C12" s="1" t="s">
        <v>21</v>
      </c>
      <c r="D12" s="1" t="s">
        <v>21</v>
      </c>
      <c r="E12" s="1" t="s">
        <v>21</v>
      </c>
    </row>
    <row r="15" spans="1:9" x14ac:dyDescent="0.35">
      <c r="A15" s="9" t="s">
        <v>32</v>
      </c>
      <c r="C15" s="1" t="s">
        <v>35</v>
      </c>
      <c r="D15" s="1" t="s">
        <v>12</v>
      </c>
      <c r="E15" s="10" t="s">
        <v>36</v>
      </c>
    </row>
    <row r="16" spans="1:9" x14ac:dyDescent="0.35">
      <c r="A16" s="9" t="s">
        <v>33</v>
      </c>
      <c r="C16">
        <v>1</v>
      </c>
      <c r="D16" s="1" t="s">
        <v>30</v>
      </c>
      <c r="E16" s="11">
        <f>B4+0+0+0</f>
        <v>41.934782609999999</v>
      </c>
    </row>
    <row r="17" spans="3:5" x14ac:dyDescent="0.35">
      <c r="C17">
        <v>1</v>
      </c>
      <c r="D17" s="1" t="s">
        <v>31</v>
      </c>
      <c r="E17" s="13">
        <f>B4+0+B7+0</f>
        <v>52.145454549999997</v>
      </c>
    </row>
    <row r="18" spans="3:5" x14ac:dyDescent="0.35">
      <c r="C18">
        <v>2</v>
      </c>
      <c r="D18" s="1" t="s">
        <v>30</v>
      </c>
      <c r="E18" s="15">
        <f>B4+B5*1+0+0</f>
        <v>49.697674419999998</v>
      </c>
    </row>
    <row r="19" spans="3:5" x14ac:dyDescent="0.35">
      <c r="C19">
        <v>2</v>
      </c>
      <c r="D19" s="1" t="s">
        <v>31</v>
      </c>
      <c r="E19" s="17">
        <f>B4+B5+B7+B9</f>
        <v>68.25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Nilupa S Gunaratna</dc:creator>
  <cp:lastModifiedBy>Nilupa S Gunaratna</cp:lastModifiedBy>
  <dcterms:created xsi:type="dcterms:W3CDTF">2025-10-28T15:12:30Z</dcterms:created>
  <dcterms:modified xsi:type="dcterms:W3CDTF">2025-10-28T15:47:08Z</dcterms:modified>
</cp:coreProperties>
</file>