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xercise" sheetId="2" r:id="rId1"/>
    <sheet name="soluti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1" l="1"/>
  <c r="A21" i="1"/>
  <c r="A19" i="1"/>
  <c r="A16" i="1" l="1"/>
  <c r="D14" i="1"/>
  <c r="D13" i="1"/>
  <c r="C11" i="1"/>
  <c r="C10" i="1"/>
  <c r="C9" i="1"/>
  <c r="C8" i="1"/>
  <c r="D6" i="1"/>
  <c r="D5" i="1"/>
  <c r="D4" i="1"/>
  <c r="C6" i="1"/>
  <c r="B6" i="1"/>
</calcChain>
</file>

<file path=xl/sharedStrings.xml><?xml version="1.0" encoding="utf-8"?>
<sst xmlns="http://schemas.openxmlformats.org/spreadsheetml/2006/main" count="31" uniqueCount="16">
  <si>
    <t>Intervention</t>
  </si>
  <si>
    <t>Control</t>
  </si>
  <si>
    <t>Girls</t>
  </si>
  <si>
    <t>Boys</t>
  </si>
  <si>
    <t>control effect</t>
  </si>
  <si>
    <t>intervention effect</t>
  </si>
  <si>
    <t>girl effect</t>
  </si>
  <si>
    <t>boy effect</t>
  </si>
  <si>
    <t>expected girl intervention</t>
  </si>
  <si>
    <t>girl * intervention effect</t>
  </si>
  <si>
    <t>check ourselves:</t>
  </si>
  <si>
    <t>=D6+C9+C10+D14</t>
  </si>
  <si>
    <t>boy * intervention</t>
  </si>
  <si>
    <t>girl * control</t>
  </si>
  <si>
    <t>boy * control</t>
  </si>
  <si>
    <t>Other interaction effects: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</si>
</sst>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solution!$B$3</c:f>
              <c:strCache>
                <c:ptCount val="1"/>
                <c:pt idx="0">
                  <c:v>Girls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solution!$B$4:$B$5</c:f>
              <c:numCache>
                <c:formatCode>General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A-4F75-A64E-E7258512F43D}"/>
            </c:ext>
          </c:extLst>
        </c:ser>
        <c:ser>
          <c:idx val="1"/>
          <c:order val="1"/>
          <c:tx>
            <c:strRef>
              <c:f>solution!$C$3</c:f>
              <c:strCache>
                <c:ptCount val="1"/>
                <c:pt idx="0">
                  <c:v>Boys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solution!$C$4:$C$5</c:f>
              <c:numCache>
                <c:formatCode>General</c:formatCode>
                <c:ptCount val="2"/>
                <c:pt idx="0">
                  <c:v>33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A-4F75-A64E-E7258512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99592"/>
        <c:axId val="366796968"/>
      </c:lineChart>
      <c:catAx>
        <c:axId val="3667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6968"/>
        <c:crosses val="autoZero"/>
        <c:auto val="1"/>
        <c:lblAlgn val="ctr"/>
        <c:lblOffset val="100"/>
        <c:noMultiLvlLbl val="0"/>
      </c:catAx>
      <c:valAx>
        <c:axId val="36679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solution!$B$3</c:f>
              <c:strCache>
                <c:ptCount val="1"/>
                <c:pt idx="0">
                  <c:v>Girls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solution!$B$4:$B$5</c:f>
              <c:numCache>
                <c:formatCode>General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1-426B-94E5-BBD0ACBB2762}"/>
            </c:ext>
          </c:extLst>
        </c:ser>
        <c:ser>
          <c:idx val="1"/>
          <c:order val="1"/>
          <c:tx>
            <c:strRef>
              <c:f>solution!$C$3</c:f>
              <c:strCache>
                <c:ptCount val="1"/>
                <c:pt idx="0">
                  <c:v>Boys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solution!$C$4:$C$5</c:f>
              <c:numCache>
                <c:formatCode>General</c:formatCode>
                <c:ptCount val="2"/>
                <c:pt idx="0">
                  <c:v>33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1-426B-94E5-BBD0ACBB2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99592"/>
        <c:axId val="366796968"/>
      </c:lineChart>
      <c:catAx>
        <c:axId val="3667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6968"/>
        <c:crosses val="autoZero"/>
        <c:auto val="1"/>
        <c:lblAlgn val="ctr"/>
        <c:lblOffset val="100"/>
        <c:noMultiLvlLbl val="0"/>
      </c:catAx>
      <c:valAx>
        <c:axId val="36679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solution!$B$3</c:f>
              <c:strCache>
                <c:ptCount val="1"/>
                <c:pt idx="0">
                  <c:v>Girls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solution!$B$4:$B$5</c:f>
              <c:numCache>
                <c:formatCode>General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E-43B8-9537-C0307AE9AB58}"/>
            </c:ext>
          </c:extLst>
        </c:ser>
        <c:ser>
          <c:idx val="1"/>
          <c:order val="1"/>
          <c:tx>
            <c:strRef>
              <c:f>solution!$C$3</c:f>
              <c:strCache>
                <c:ptCount val="1"/>
                <c:pt idx="0">
                  <c:v>Boys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solution!$A$4:$A$5</c:f>
              <c:strCache>
                <c:ptCount val="2"/>
                <c:pt idx="0">
                  <c:v>Control</c:v>
                </c:pt>
                <c:pt idx="1">
                  <c:v>Intervention</c:v>
                </c:pt>
              </c:strCache>
            </c:strRef>
          </c:cat>
          <c:val>
            <c:numRef>
              <c:f>solution!$C$4:$C$5</c:f>
              <c:numCache>
                <c:formatCode>General</c:formatCode>
                <c:ptCount val="2"/>
                <c:pt idx="0">
                  <c:v>33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E-43B8-9537-C0307AE9A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99592"/>
        <c:axId val="366796968"/>
      </c:lineChart>
      <c:catAx>
        <c:axId val="3667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6968"/>
        <c:crosses val="autoZero"/>
        <c:auto val="1"/>
        <c:lblAlgn val="ctr"/>
        <c:lblOffset val="100"/>
        <c:noMultiLvlLbl val="0"/>
      </c:catAx>
      <c:valAx>
        <c:axId val="36679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9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</xdr:row>
      <xdr:rowOff>90487</xdr:rowOff>
    </xdr:from>
    <xdr:to>
      <xdr:col>12</xdr:col>
      <xdr:colOff>400050</xdr:colOff>
      <xdr:row>16</xdr:row>
      <xdr:rowOff>166687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</xdr:row>
      <xdr:rowOff>90487</xdr:rowOff>
    </xdr:from>
    <xdr:to>
      <xdr:col>12</xdr:col>
      <xdr:colOff>400050</xdr:colOff>
      <xdr:row>16</xdr:row>
      <xdr:rowOff>166687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</xdr:row>
      <xdr:rowOff>90487</xdr:rowOff>
    </xdr:from>
    <xdr:to>
      <xdr:col>12</xdr:col>
      <xdr:colOff>400050</xdr:colOff>
      <xdr:row>16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tabSelected="1" workbookViewId="0"/>
  </sheetViews>
  <sheetFormatPr defaultRowHeight="15" x14ac:dyDescent="0.25"/>
  <cols>
    <col min="1" max="1" width="13.5703125" bestFit="1" customWidth="1"/>
  </cols>
  <sheetData>
    <row r="3" spans="1:3" x14ac:dyDescent="0.25">
      <c r="B3" s="2" t="s">
        <v>2</v>
      </c>
      <c r="C3" s="2" t="s">
        <v>3</v>
      </c>
    </row>
    <row r="4" spans="1:3" x14ac:dyDescent="0.25">
      <c r="A4" t="s">
        <v>1</v>
      </c>
      <c r="B4" s="2">
        <v>35</v>
      </c>
      <c r="C4" s="2">
        <v>33</v>
      </c>
    </row>
    <row r="5" spans="1:3" x14ac:dyDescent="0.25">
      <c r="A5" t="s">
        <v>0</v>
      </c>
      <c r="B5" s="2">
        <v>65</v>
      </c>
      <c r="C5" s="2">
        <v>50</v>
      </c>
    </row>
    <row r="6" spans="1:3" x14ac:dyDescent="0.25">
      <c r="B6" s="2"/>
      <c r="C6" s="2"/>
    </row>
    <row r="8" spans="1:3" x14ac:dyDescent="0.25">
      <c r="A8" t="s">
        <v>4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7</v>
      </c>
    </row>
    <row r="13" spans="1:3" x14ac:dyDescent="0.25">
      <c r="A13" t="s">
        <v>8</v>
      </c>
    </row>
    <row r="14" spans="1:3" x14ac:dyDescent="0.25">
      <c r="A14" t="s">
        <v>9</v>
      </c>
    </row>
    <row r="15" spans="1:3" x14ac:dyDescent="0.25">
      <c r="A15" t="s">
        <v>10</v>
      </c>
    </row>
    <row r="16" spans="1:3" x14ac:dyDescent="0.25">
      <c r="B16" s="1"/>
    </row>
    <row r="17" spans="1:1" x14ac:dyDescent="0.25">
      <c r="A17" t="s">
        <v>15</v>
      </c>
    </row>
    <row r="18" spans="1:1" x14ac:dyDescent="0.25">
      <c r="A18" t="s">
        <v>12</v>
      </c>
    </row>
    <row r="20" spans="1:1" x14ac:dyDescent="0.25">
      <c r="A20" t="s">
        <v>13</v>
      </c>
    </row>
    <row r="22" spans="1:1" x14ac:dyDescent="0.25">
      <c r="A22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workbookViewId="0"/>
  </sheetViews>
  <sheetFormatPr defaultRowHeight="15" x14ac:dyDescent="0.25"/>
  <cols>
    <col min="1" max="1" width="13.5703125" bestFit="1" customWidth="1"/>
  </cols>
  <sheetData>
    <row r="3" spans="1:4" x14ac:dyDescent="0.25">
      <c r="B3" s="2" t="s">
        <v>2</v>
      </c>
      <c r="C3" s="2" t="s">
        <v>3</v>
      </c>
    </row>
    <row r="4" spans="1:4" x14ac:dyDescent="0.25">
      <c r="A4" t="s">
        <v>1</v>
      </c>
      <c r="B4" s="2">
        <v>35</v>
      </c>
      <c r="C4" s="2">
        <v>33</v>
      </c>
      <c r="D4">
        <f>AVERAGE(B4:C4)</f>
        <v>34</v>
      </c>
    </row>
    <row r="5" spans="1:4" x14ac:dyDescent="0.25">
      <c r="A5" t="s">
        <v>0</v>
      </c>
      <c r="B5" s="2">
        <v>65</v>
      </c>
      <c r="C5" s="2">
        <v>50</v>
      </c>
      <c r="D5">
        <f>AVERAGE(B5:C5)</f>
        <v>57.5</v>
      </c>
    </row>
    <row r="6" spans="1:4" x14ac:dyDescent="0.25">
      <c r="B6" s="2">
        <f>AVERAGE(B4:B5)</f>
        <v>50</v>
      </c>
      <c r="C6" s="2">
        <f>AVERAGE(C4:C5)</f>
        <v>41.5</v>
      </c>
      <c r="D6">
        <f>AVERAGE(D4:D5)</f>
        <v>45.75</v>
      </c>
    </row>
    <row r="8" spans="1:4" x14ac:dyDescent="0.25">
      <c r="A8" t="s">
        <v>4</v>
      </c>
      <c r="C8">
        <f>D4-D6</f>
        <v>-11.75</v>
      </c>
    </row>
    <row r="9" spans="1:4" x14ac:dyDescent="0.25">
      <c r="A9" t="s">
        <v>5</v>
      </c>
      <c r="C9">
        <f>D5-D6</f>
        <v>11.75</v>
      </c>
    </row>
    <row r="10" spans="1:4" x14ac:dyDescent="0.25">
      <c r="A10" t="s">
        <v>6</v>
      </c>
      <c r="C10">
        <f>B6-D6</f>
        <v>4.25</v>
      </c>
    </row>
    <row r="11" spans="1:4" x14ac:dyDescent="0.25">
      <c r="A11" t="s">
        <v>7</v>
      </c>
      <c r="C11">
        <f>C6-D6</f>
        <v>-4.25</v>
      </c>
    </row>
    <row r="13" spans="1:4" x14ac:dyDescent="0.25">
      <c r="A13" t="s">
        <v>8</v>
      </c>
      <c r="D13">
        <f>D6+C9+C10</f>
        <v>61.75</v>
      </c>
    </row>
    <row r="14" spans="1:4" x14ac:dyDescent="0.25">
      <c r="A14" t="s">
        <v>9</v>
      </c>
      <c r="D14">
        <f>B5-D13</f>
        <v>3.25</v>
      </c>
    </row>
    <row r="15" spans="1:4" x14ac:dyDescent="0.25">
      <c r="A15" t="s">
        <v>10</v>
      </c>
    </row>
    <row r="16" spans="1:4" x14ac:dyDescent="0.25">
      <c r="A16">
        <f>D6+C9+C10+D14</f>
        <v>65</v>
      </c>
      <c r="B16" s="1" t="s">
        <v>11</v>
      </c>
    </row>
    <row r="17" spans="1:1" x14ac:dyDescent="0.25">
      <c r="A17" t="s">
        <v>15</v>
      </c>
    </row>
    <row r="18" spans="1:1" x14ac:dyDescent="0.25">
      <c r="A18" t="s">
        <v>12</v>
      </c>
    </row>
    <row r="19" spans="1:1" x14ac:dyDescent="0.25">
      <c r="A19">
        <f>C5-(D6+C11+C9)</f>
        <v>-3.25</v>
      </c>
    </row>
    <row r="20" spans="1:1" x14ac:dyDescent="0.25">
      <c r="A20" t="s">
        <v>13</v>
      </c>
    </row>
    <row r="21" spans="1:1" x14ac:dyDescent="0.25">
      <c r="A21">
        <f>B4-(D6+C8+C10)</f>
        <v>-3.25</v>
      </c>
    </row>
    <row r="22" spans="1:1" x14ac:dyDescent="0.25">
      <c r="A22" t="s">
        <v>14</v>
      </c>
    </row>
    <row r="23" spans="1:1" x14ac:dyDescent="0.25">
      <c r="A23">
        <f>C4-(D6+C8+C11)</f>
        <v>3.25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2020-02-25T12:29:44Z</dcterms:modified>
</cp:coreProperties>
</file>